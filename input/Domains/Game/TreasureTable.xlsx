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oshy/Documents/Projects/devian/input/Domains/Game/"/>
    </mc:Choice>
  </mc:AlternateContent>
  <xr:revisionPtr revIDLastSave="0" documentId="13_ncr:1_{49730265-DB56-3A4B-AE38-807B79642AB4}" xr6:coauthVersionLast="47" xr6:coauthVersionMax="47" xr10:uidLastSave="{00000000-0000-0000-0000-000000000000}"/>
  <bookViews>
    <workbookView xWindow="10260" yWindow="2660" windowWidth="27700" windowHeight="16880" activeTab="1" xr2:uid="{01BE4A96-B5D6-5B4E-8BC6-57E1A1D6A4AB}"/>
  </bookViews>
  <sheets>
    <sheet name="TREASURE_CHEST" sheetId="3" r:id="rId1"/>
    <sheet name="TREASURE_REWARD" sheetId="4" r:id="rId2"/>
    <sheet name="REWARD@TREAS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4" l="1"/>
  <c r="G13" i="4"/>
  <c r="G12" i="4"/>
  <c r="G11" i="4"/>
  <c r="G10" i="4"/>
  <c r="G6" i="4"/>
  <c r="G7" i="4"/>
  <c r="G8" i="4"/>
  <c r="G9" i="4"/>
  <c r="G5" i="4"/>
</calcChain>
</file>

<file path=xl/sharedStrings.xml><?xml version="1.0" encoding="utf-8"?>
<sst xmlns="http://schemas.openxmlformats.org/spreadsheetml/2006/main" count="84" uniqueCount="45">
  <si>
    <t>rewardGroupId</t>
  </si>
  <si>
    <t>string</t>
  </si>
  <si>
    <t>pk</t>
  </si>
  <si>
    <t>group:true</t>
  </si>
  <si>
    <t>rewardNum</t>
  </si>
  <si>
    <t>type</t>
  </si>
  <si>
    <t>id</t>
  </si>
  <si>
    <t>amount</t>
  </si>
  <si>
    <t>rate</t>
  </si>
  <si>
    <t>int</t>
  </si>
  <si>
    <t>enum:REWARD_TYPE</t>
  </si>
  <si>
    <t>float</t>
  </si>
  <si>
    <t>Reward PK (auto-increment number)</t>
  </si>
  <si>
    <t>Reward Group Key</t>
  </si>
  <si>
    <t>Reward Type</t>
  </si>
  <si>
    <t>Target ID</t>
  </si>
  <si>
    <t>Amount</t>
  </si>
  <si>
    <t>CURRENCY</t>
  </si>
  <si>
    <t>JEWEL_FREE</t>
  </si>
  <si>
    <t>COMMON</t>
    <phoneticPr fontId="1" type="noConversion"/>
  </si>
  <si>
    <t>RARE</t>
    <phoneticPr fontId="1" type="noConversion"/>
  </si>
  <si>
    <t>EPIC</t>
    <phoneticPr fontId="1" type="noConversion"/>
  </si>
  <si>
    <t>LEGENDARY</t>
    <phoneticPr fontId="1" type="noConversion"/>
  </si>
  <si>
    <t>MYTHIC</t>
  </si>
  <si>
    <t>index</t>
    <phoneticPr fontId="2" type="noConversion"/>
  </si>
  <si>
    <t>int</t>
    <phoneticPr fontId="1" type="noConversion"/>
  </si>
  <si>
    <t>maxExp</t>
    <phoneticPr fontId="1" type="noConversion"/>
  </si>
  <si>
    <t>level</t>
    <phoneticPr fontId="2" type="noConversion"/>
  </si>
  <si>
    <t>treasureGradeType</t>
    <phoneticPr fontId="1" type="noConversion"/>
  </si>
  <si>
    <t>level</t>
    <phoneticPr fontId="1" type="noConversion"/>
  </si>
  <si>
    <t>conditionMsgId</t>
  </si>
  <si>
    <t>conditionOp</t>
  </si>
  <si>
    <t>conditionValue</t>
  </si>
  <si>
    <t>GAME_MESSAGE_OP_TYPE</t>
  </si>
  <si>
    <t>class:CBigInt</t>
  </si>
  <si>
    <t>NONE/EQ/GTE/LTE</t>
  </si>
  <si>
    <t>조건 목표값_x000D__x000D__x000D__x000D__x000D_
{base, pow}</t>
  </si>
  <si>
    <t>TREASURE_GRADE_TYPE</t>
    <phoneticPr fontId="1" type="noConversion"/>
  </si>
  <si>
    <t>reward_treasure_001_common</t>
    <phoneticPr fontId="2" type="noConversion"/>
  </si>
  <si>
    <t>reward_treasure_001_rare</t>
    <phoneticPr fontId="2" type="noConversion"/>
  </si>
  <si>
    <t>reward_treasure_001_epic</t>
    <phoneticPr fontId="2" type="noConversion"/>
  </si>
  <si>
    <t>reward_treasure_001_legendary</t>
    <phoneticPr fontId="2" type="noConversion"/>
  </si>
  <si>
    <t>reward_treasure_001_mythic</t>
    <phoneticPr fontId="2" type="noConversion"/>
  </si>
  <si>
    <t>msg_stage_max</t>
    <phoneticPr fontId="2" type="noConversion"/>
  </si>
  <si>
    <t>GTE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</si>
</sst>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D3F97-1825-DD4B-996F-ECD983C3D85A}">
  <dimension ref="A1:C9"/>
  <sheetViews>
    <sheetView workbookViewId="0">
      <selection activeCell="B1" sqref="B1"/>
    </sheetView>
  </sheetViews>
  <sheetFormatPr baseColWidth="10" defaultRowHeight="18"/>
  <cols>
    <col min="1" max="1" width="8.5703125" customWidth="1"/>
    <col min="2" max="2" width="20.85546875" bestFit="1" customWidth="1"/>
    <col min="3" max="3" width="14.140625" customWidth="1"/>
  </cols>
  <sheetData>
    <row r="1" spans="1:3">
      <c r="A1" s="1" t="s">
        <v>27</v>
      </c>
      <c r="B1" s="1" t="s">
        <v>28</v>
      </c>
      <c r="C1" s="1" t="s">
        <v>26</v>
      </c>
    </row>
    <row r="2" spans="1:3">
      <c r="A2" s="1" t="s">
        <v>25</v>
      </c>
      <c r="B2" t="s">
        <v>37</v>
      </c>
      <c r="C2" t="s">
        <v>25</v>
      </c>
    </row>
    <row r="3" spans="1:3">
      <c r="A3" s="1" t="s">
        <v>2</v>
      </c>
      <c r="B3" s="1"/>
      <c r="C3" s="1"/>
    </row>
    <row r="4" spans="1:3">
      <c r="A4" s="1"/>
      <c r="B4" s="1"/>
      <c r="C4" s="1"/>
    </row>
    <row r="5" spans="1:3">
      <c r="A5" s="1">
        <v>1</v>
      </c>
      <c r="B5" s="1" t="s">
        <v>19</v>
      </c>
      <c r="C5" s="1">
        <v>20</v>
      </c>
    </row>
    <row r="6" spans="1:3">
      <c r="A6" s="1">
        <v>2</v>
      </c>
      <c r="B6" s="1" t="s">
        <v>20</v>
      </c>
      <c r="C6" s="1">
        <v>30</v>
      </c>
    </row>
    <row r="7" spans="1:3">
      <c r="A7" s="1">
        <v>3</v>
      </c>
      <c r="B7" s="1" t="s">
        <v>21</v>
      </c>
      <c r="C7" s="1">
        <v>50</v>
      </c>
    </row>
    <row r="8" spans="1:3">
      <c r="A8" s="1">
        <v>4</v>
      </c>
      <c r="B8" s="1" t="s">
        <v>22</v>
      </c>
      <c r="C8" s="1">
        <v>75</v>
      </c>
    </row>
    <row r="9" spans="1:3">
      <c r="A9" s="1">
        <v>5</v>
      </c>
      <c r="B9" t="s">
        <v>23</v>
      </c>
      <c r="C9" s="1">
        <v>100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A6E4-CCF8-A64F-B9B9-4FF71C8B22BB}">
  <dimension ref="A1:G14"/>
  <sheetViews>
    <sheetView tabSelected="1" workbookViewId="0">
      <selection activeCell="B3" sqref="B3"/>
    </sheetView>
  </sheetViews>
  <sheetFormatPr baseColWidth="10" defaultRowHeight="18"/>
  <cols>
    <col min="1" max="1" width="8.5703125" customWidth="1"/>
    <col min="2" max="2" width="17.7109375" bestFit="1" customWidth="1"/>
    <col min="3" max="3" width="10.140625" customWidth="1"/>
    <col min="4" max="4" width="20.5703125" bestFit="1" customWidth="1"/>
    <col min="5" max="6" width="10.5703125" customWidth="1"/>
    <col min="7" max="7" width="24.7109375" customWidth="1"/>
  </cols>
  <sheetData>
    <row r="1" spans="1:7">
      <c r="A1" s="1" t="s">
        <v>24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0</v>
      </c>
    </row>
    <row r="2" spans="1:7">
      <c r="A2" s="1" t="s">
        <v>25</v>
      </c>
      <c r="B2" t="s">
        <v>37</v>
      </c>
      <c r="C2" s="1" t="s">
        <v>25</v>
      </c>
      <c r="D2" s="1" t="s">
        <v>1</v>
      </c>
      <c r="E2" s="1" t="s">
        <v>33</v>
      </c>
      <c r="F2" s="1" t="s">
        <v>34</v>
      </c>
      <c r="G2" s="1" t="s">
        <v>1</v>
      </c>
    </row>
    <row r="3" spans="1:7">
      <c r="A3" s="1" t="s">
        <v>2</v>
      </c>
      <c r="B3" s="1" t="s">
        <v>3</v>
      </c>
      <c r="C3" s="1"/>
      <c r="D3" s="1"/>
      <c r="E3" s="1"/>
      <c r="F3" s="1"/>
      <c r="G3" s="1"/>
    </row>
    <row r="4" spans="1:7">
      <c r="A4" s="1"/>
      <c r="B4" s="1"/>
      <c r="C4" s="1"/>
      <c r="D4" s="1"/>
      <c r="E4" s="1" t="s">
        <v>35</v>
      </c>
      <c r="F4" s="1" t="s">
        <v>36</v>
      </c>
    </row>
    <row r="5" spans="1:7">
      <c r="A5" s="1">
        <v>1</v>
      </c>
      <c r="B5" s="1" t="s">
        <v>19</v>
      </c>
      <c r="C5" s="1">
        <v>1</v>
      </c>
      <c r="D5" s="1"/>
      <c r="E5" s="1"/>
      <c r="F5" s="1"/>
      <c r="G5" s="1" t="str">
        <f>"reward_treasure_"&amp;TEXT(C5,"000")&amp;"_"&amp;LOWER(B5)</f>
        <v>reward_treasure_001_common</v>
      </c>
    </row>
    <row r="6" spans="1:7">
      <c r="A6" s="1">
        <v>2</v>
      </c>
      <c r="B6" s="1" t="s">
        <v>20</v>
      </c>
      <c r="C6" s="1">
        <v>1</v>
      </c>
      <c r="D6" s="1"/>
      <c r="E6" s="1"/>
      <c r="F6" s="1"/>
      <c r="G6" s="1" t="str">
        <f t="shared" ref="G6:G9" si="0">"reward_treasure_"&amp;TEXT(C6,"000")&amp;"_"&amp;LOWER(B6)</f>
        <v>reward_treasure_001_rare</v>
      </c>
    </row>
    <row r="7" spans="1:7">
      <c r="A7" s="1">
        <v>3</v>
      </c>
      <c r="B7" s="1" t="s">
        <v>21</v>
      </c>
      <c r="C7" s="1">
        <v>1</v>
      </c>
      <c r="D7" s="1"/>
      <c r="E7" s="1"/>
      <c r="F7" s="1"/>
      <c r="G7" s="1" t="str">
        <f t="shared" si="0"/>
        <v>reward_treasure_001_epic</v>
      </c>
    </row>
    <row r="8" spans="1:7">
      <c r="A8" s="1">
        <v>4</v>
      </c>
      <c r="B8" s="1" t="s">
        <v>22</v>
      </c>
      <c r="C8" s="1">
        <v>1</v>
      </c>
      <c r="D8" s="1"/>
      <c r="E8" s="1"/>
      <c r="F8" s="1"/>
      <c r="G8" s="1" t="str">
        <f t="shared" si="0"/>
        <v>reward_treasure_001_legendary</v>
      </c>
    </row>
    <row r="9" spans="1:7">
      <c r="A9" s="1">
        <v>5</v>
      </c>
      <c r="B9" t="s">
        <v>23</v>
      </c>
      <c r="C9" s="1">
        <v>1</v>
      </c>
      <c r="D9" s="1"/>
      <c r="E9" s="1"/>
      <c r="F9" s="1"/>
      <c r="G9" s="1" t="str">
        <f t="shared" si="0"/>
        <v>reward_treasure_001_mythic</v>
      </c>
    </row>
    <row r="10" spans="1:7">
      <c r="A10" s="1">
        <v>6</v>
      </c>
      <c r="B10" s="1" t="s">
        <v>19</v>
      </c>
      <c r="C10" s="1">
        <v>2</v>
      </c>
      <c r="D10" s="1" t="s">
        <v>43</v>
      </c>
      <c r="E10" s="1" t="s">
        <v>44</v>
      </c>
      <c r="F10" s="1">
        <v>10</v>
      </c>
      <c r="G10" s="1" t="str">
        <f>"reward_treasure_"&amp;TEXT(C10,"000")&amp;"_"&amp;LOWER(B10)</f>
        <v>reward_treasure_002_common</v>
      </c>
    </row>
    <row r="11" spans="1:7">
      <c r="A11" s="1">
        <v>7</v>
      </c>
      <c r="B11" s="1" t="s">
        <v>20</v>
      </c>
      <c r="C11" s="1">
        <v>2</v>
      </c>
      <c r="D11" s="1" t="s">
        <v>43</v>
      </c>
      <c r="E11" s="1" t="s">
        <v>44</v>
      </c>
      <c r="F11" s="1">
        <v>10</v>
      </c>
      <c r="G11" s="1" t="str">
        <f t="shared" ref="G11:G14" si="1">"reward_treasure_"&amp;TEXT(C11,"000")&amp;"_"&amp;LOWER(B11)</f>
        <v>reward_treasure_002_rare</v>
      </c>
    </row>
    <row r="12" spans="1:7">
      <c r="A12" s="1">
        <v>8</v>
      </c>
      <c r="B12" s="1" t="s">
        <v>21</v>
      </c>
      <c r="C12" s="1">
        <v>2</v>
      </c>
      <c r="D12" s="1" t="s">
        <v>43</v>
      </c>
      <c r="E12" s="1" t="s">
        <v>44</v>
      </c>
      <c r="F12" s="1">
        <v>10</v>
      </c>
      <c r="G12" s="1" t="str">
        <f t="shared" si="1"/>
        <v>reward_treasure_002_epic</v>
      </c>
    </row>
    <row r="13" spans="1:7">
      <c r="A13" s="1">
        <v>9</v>
      </c>
      <c r="B13" s="1" t="s">
        <v>22</v>
      </c>
      <c r="C13" s="1">
        <v>2</v>
      </c>
      <c r="D13" s="1" t="s">
        <v>43</v>
      </c>
      <c r="E13" s="1" t="s">
        <v>44</v>
      </c>
      <c r="F13" s="1">
        <v>10</v>
      </c>
      <c r="G13" s="1" t="str">
        <f t="shared" si="1"/>
        <v>reward_treasure_002_legendary</v>
      </c>
    </row>
    <row r="14" spans="1:7">
      <c r="A14" s="1">
        <v>10</v>
      </c>
      <c r="B14" t="s">
        <v>23</v>
      </c>
      <c r="C14" s="1">
        <v>2</v>
      </c>
      <c r="D14" s="1" t="s">
        <v>43</v>
      </c>
      <c r="E14" s="1" t="s">
        <v>44</v>
      </c>
      <c r="F14" s="1">
        <v>10</v>
      </c>
      <c r="G14" s="1" t="str">
        <f t="shared" si="1"/>
        <v>reward_treasure_002_mythic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9A264-1B87-8846-9955-742486D0FE55}">
  <dimension ref="A1:F16"/>
  <sheetViews>
    <sheetView workbookViewId="0">
      <selection activeCell="E9" sqref="E9"/>
    </sheetView>
  </sheetViews>
  <sheetFormatPr baseColWidth="10" defaultRowHeight="18"/>
  <cols>
    <col min="1" max="1" width="9.28515625" customWidth="1"/>
    <col min="2" max="2" width="25.5703125" bestFit="1" customWidth="1"/>
  </cols>
  <sheetData>
    <row r="1" spans="1:6">
      <c r="A1" s="1" t="s">
        <v>4</v>
      </c>
      <c r="B1" s="1" t="s">
        <v>0</v>
      </c>
      <c r="C1" s="1" t="s">
        <v>5</v>
      </c>
      <c r="D1" s="1" t="s">
        <v>6</v>
      </c>
      <c r="E1" s="1" t="s">
        <v>7</v>
      </c>
      <c r="F1" s="1" t="s">
        <v>8</v>
      </c>
    </row>
    <row r="2" spans="1:6">
      <c r="A2" s="1" t="s">
        <v>9</v>
      </c>
      <c r="B2" s="1" t="s">
        <v>1</v>
      </c>
      <c r="C2" s="1" t="s">
        <v>10</v>
      </c>
      <c r="D2" s="1" t="s">
        <v>1</v>
      </c>
      <c r="E2" s="1" t="s">
        <v>9</v>
      </c>
      <c r="F2" s="1" t="s">
        <v>11</v>
      </c>
    </row>
    <row r="3" spans="1:6">
      <c r="A3" s="1" t="s">
        <v>2</v>
      </c>
      <c r="B3" s="1" t="s">
        <v>3</v>
      </c>
      <c r="C3" s="1"/>
      <c r="D3" s="1"/>
      <c r="E3" s="1"/>
      <c r="F3" s="1"/>
    </row>
    <row r="4" spans="1:6">
      <c r="A4" s="1" t="s">
        <v>12</v>
      </c>
      <c r="B4" s="1" t="s">
        <v>13</v>
      </c>
      <c r="C4" s="1" t="s">
        <v>14</v>
      </c>
      <c r="D4" s="1" t="s">
        <v>15</v>
      </c>
      <c r="E4" s="1" t="s">
        <v>16</v>
      </c>
      <c r="F4" s="1"/>
    </row>
    <row r="5" spans="1:6">
      <c r="A5" s="1">
        <v>1</v>
      </c>
      <c r="B5" s="1" t="s">
        <v>38</v>
      </c>
      <c r="C5" s="1" t="s">
        <v>17</v>
      </c>
      <c r="D5" s="1" t="s">
        <v>18</v>
      </c>
      <c r="E5" s="1">
        <v>1000</v>
      </c>
      <c r="F5" s="1">
        <v>100</v>
      </c>
    </row>
    <row r="6" spans="1:6">
      <c r="A6" s="1">
        <v>2</v>
      </c>
      <c r="B6" s="1" t="s">
        <v>39</v>
      </c>
      <c r="C6" s="1" t="s">
        <v>17</v>
      </c>
      <c r="D6" s="1" t="s">
        <v>18</v>
      </c>
      <c r="E6" s="1">
        <v>1000</v>
      </c>
      <c r="F6" s="1">
        <v>100</v>
      </c>
    </row>
    <row r="7" spans="1:6">
      <c r="A7" s="1">
        <v>3</v>
      </c>
      <c r="B7" s="1" t="s">
        <v>40</v>
      </c>
      <c r="C7" s="1" t="s">
        <v>17</v>
      </c>
      <c r="D7" s="1" t="s">
        <v>18</v>
      </c>
      <c r="E7" s="1">
        <v>1000</v>
      </c>
      <c r="F7" s="1">
        <v>100</v>
      </c>
    </row>
    <row r="8" spans="1:6">
      <c r="A8" s="1">
        <v>4</v>
      </c>
      <c r="B8" s="1" t="s">
        <v>41</v>
      </c>
      <c r="C8" s="1" t="s">
        <v>17</v>
      </c>
      <c r="D8" s="1" t="s">
        <v>18</v>
      </c>
      <c r="E8" s="1">
        <v>1000</v>
      </c>
      <c r="F8" s="1">
        <v>100</v>
      </c>
    </row>
    <row r="9" spans="1:6">
      <c r="A9" s="1">
        <v>5</v>
      </c>
      <c r="B9" s="1" t="s">
        <v>42</v>
      </c>
      <c r="C9" s="1" t="s">
        <v>17</v>
      </c>
      <c r="D9" s="1" t="s">
        <v>18</v>
      </c>
      <c r="E9" s="1">
        <v>1000</v>
      </c>
      <c r="F9" s="1">
        <v>100</v>
      </c>
    </row>
    <row r="10" spans="1:6">
      <c r="A10" s="1"/>
      <c r="B10" s="1"/>
      <c r="C10" s="1"/>
      <c r="D10" s="1"/>
      <c r="E10" s="1"/>
      <c r="F10" s="1"/>
    </row>
    <row r="11" spans="1:6">
      <c r="A11" s="1"/>
      <c r="B11" s="1"/>
      <c r="C11" s="1"/>
      <c r="D11" s="1"/>
      <c r="E11" s="1"/>
      <c r="F11" s="1"/>
    </row>
    <row r="12" spans="1:6">
      <c r="A12" s="1"/>
      <c r="B12" s="1"/>
      <c r="C12" s="1"/>
      <c r="D12" s="1"/>
      <c r="E12" s="1"/>
      <c r="F12" s="1"/>
    </row>
    <row r="13" spans="1:6">
      <c r="A13" s="1"/>
      <c r="B13" s="1"/>
      <c r="C13" s="1"/>
      <c r="D13" s="1"/>
      <c r="E13" s="1"/>
      <c r="F13" s="1"/>
    </row>
    <row r="14" spans="1:6">
      <c r="A14" s="1"/>
      <c r="B14" s="1"/>
      <c r="C14" s="1"/>
      <c r="D14" s="1"/>
      <c r="E14" s="1"/>
      <c r="F14" s="1"/>
    </row>
    <row r="15" spans="1:6">
      <c r="A15" s="1"/>
      <c r="B15" s="1"/>
      <c r="C15" s="1"/>
      <c r="D15" s="1"/>
      <c r="E15" s="1"/>
      <c r="F15" s="1"/>
    </row>
    <row r="16" spans="1:6">
      <c r="A16" s="1"/>
      <c r="B16" s="1"/>
      <c r="C16" s="1"/>
      <c r="D16" s="1"/>
      <c r="E16" s="1"/>
      <c r="F16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TREASURE_CHEST</vt:lpstr>
      <vt:lpstr>TREASURE_REWARD</vt:lpstr>
      <vt:lpstr>REWARD@TREASURE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형준 김</dc:creator>
  <cp:lastModifiedBy>형준 김</cp:lastModifiedBy>
  <dcterms:created xsi:type="dcterms:W3CDTF">2026-03-15T05:59:36Z</dcterms:created>
  <dcterms:modified xsi:type="dcterms:W3CDTF">2026-03-15T14:27:21Z</dcterms:modified>
</cp:coreProperties>
</file>